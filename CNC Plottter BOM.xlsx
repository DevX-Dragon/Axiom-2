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A HACK CLUB PRJ\9. CNC 2D Plotter\Github\"/>
    </mc:Choice>
  </mc:AlternateContent>
  <xr:revisionPtr revIDLastSave="0" documentId="13_ncr:1_{7146086A-62DC-4828-AD35-7E4565667C98}" xr6:coauthVersionLast="47" xr6:coauthVersionMax="47" xr10:uidLastSave="{00000000-0000-0000-0000-000000000000}"/>
  <bookViews>
    <workbookView xWindow="-120" yWindow="-120" windowWidth="20730" windowHeight="11040" xr2:uid="{515E7A96-326B-4074-A5DD-FA24AF36E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3" i="1"/>
  <c r="E4" i="1"/>
  <c r="E5" i="1"/>
  <c r="E6" i="1"/>
  <c r="E18" i="1" s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<sst xmlns="http://schemas.openxmlformats.org/spreadsheetml/2006/main" count="36" uniqueCount="34">
  <si>
    <t>Product Name</t>
  </si>
  <si>
    <t>Quanity</t>
  </si>
  <si>
    <t>Link</t>
  </si>
  <si>
    <t>Price Per Unit</t>
  </si>
  <si>
    <t>Final Price</t>
  </si>
  <si>
    <t>Nema 17 Stepper Motors</t>
  </si>
  <si>
    <t>https://www.duino.lk/product/nema-17-stepper-motor-bipolar-1-8deg-1-5a-42ncm-42x42x40mm/</t>
  </si>
  <si>
    <t>CNC Shield V3.0 + uno R3 + 4pcs a4988 drivers</t>
  </si>
  <si>
    <t>https://www.duino.lk/product/cnc-shield-v3-0-uno-r3-4pcs-a4988-drivers/</t>
  </si>
  <si>
    <t>12V 2A Orginal Power Supply Adapter 3 PIN AC/DC</t>
  </si>
  <si>
    <t>https://www.duino.lk/product/12v-2a-orginal-power-supply-adapter/</t>
  </si>
  <si>
    <t>Servo Motor SG90 9G Micro Servo Motor</t>
  </si>
  <si>
    <t>https://www.duino.lk/product/servo-motor-sg90-9g/</t>
  </si>
  <si>
    <t>1000mm 8mm Smooth Shaft Rod Diameter 8mm Length 1M *1Pcs</t>
  </si>
  <si>
    <t>https://www.duino.lk/product/1000mm-8mm-smooth-shaft/</t>
  </si>
  <si>
    <t>LM8LUU-LM20LUU Ball Bearings For CNC 3D Printers Parts Rail Linear *Long Rod Shaft Part</t>
  </si>
  <si>
    <t>https://www.duino.lk/product/gt2-6mm-width-2gt-pu-transmission-timing-belt/</t>
  </si>
  <si>
    <t>GT2 6mm Width 2GT PU Steel Transmission Timing Belt *1M</t>
  </si>
  <si>
    <t>https://www.duino.lk/product/gt2-16t-16-teeth-5mm-bore/</t>
  </si>
  <si>
    <t>GT2 16T 16 Teeth 5mm Bore T16B5W10 10mm Width Timing Pulley</t>
  </si>
  <si>
    <t>https://www.duino.lk/product/lm8luu-lm20luu-ball-bearings/</t>
  </si>
  <si>
    <t>M3 Iron Phillips Head Screws+Nuts Fastener 16mm</t>
  </si>
  <si>
    <t>https://www.duino.lk/product/m3-iron-phillips-head-screws-nuts-fastener-3mm-30mm/</t>
  </si>
  <si>
    <t>M3 Iron Phillips Head Screws+Nuts Fastener 6mm</t>
  </si>
  <si>
    <t>https://tronic.lk/product/m3-bolt-nut-3x20mm-approx-10pcs</t>
  </si>
  <si>
    <t>M3 Bolt &amp; Nut 3x20mm (Approx. 10pcs) (NB0007)</t>
  </si>
  <si>
    <t>M3 Stainless Steel Plain Flat Washer (TA1606)</t>
  </si>
  <si>
    <t>https://tronic.lk/product/m3-stainless-steel-plain-flat-washer?srsltid=AfmBOooPRT6yeefbNcoXJxjEukY0WOrN_eUb2KrOpBw3b-ZA24PIuWgf</t>
  </si>
  <si>
    <t>https://www.duino.lk/product/2-pin-jumper-connector-stud-2-54mm-standard/</t>
  </si>
  <si>
    <t>Jumper Connectors (20pcs)</t>
  </si>
  <si>
    <t>3D Printed Parts (@souptik samanta on printing legion)</t>
  </si>
  <si>
    <t>https://www.duino.lk/product/624zz-ball-bearing/</t>
  </si>
  <si>
    <t>624ZZ 4x13x5mm Steel Sealed Ball Bearing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</si>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</sst>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ino.lk/product/m3-iron-phillips-head-screws-nuts-fastener-3mm-30mm/" TargetMode="External"/><Relationship Id="rId3" Type="http://schemas.openxmlformats.org/officeDocument/2006/relationships/hyperlink" Target="https://www.duino.lk/product/12v-2a-orginal-power-supply-adapter/" TargetMode="External"/><Relationship Id="rId7" Type="http://schemas.openxmlformats.org/officeDocument/2006/relationships/hyperlink" Target="https://www.duino.lk/product/lm8luu-lm20luu-ball-bearings/" TargetMode="External"/><Relationship Id="rId12" Type="http://schemas.openxmlformats.org/officeDocument/2006/relationships/hyperlink" Target="https://www.duino.lk/product/624zz-ball-bearing/" TargetMode="External"/><Relationship Id="rId2" Type="http://schemas.openxmlformats.org/officeDocument/2006/relationships/hyperlink" Target="https://www.duino.lk/product/cnc-shield-v3-0-uno-r3-4pcs-a4988-drivers/" TargetMode="External"/><Relationship Id="rId1" Type="http://schemas.openxmlformats.org/officeDocument/2006/relationships/hyperlink" Target="https://www.duino.lk/product/nema-17-stepper-motor-bipolar-1-8deg-1-5a-42ncm-42x42x40mm/" TargetMode="External"/><Relationship Id="rId6" Type="http://schemas.openxmlformats.org/officeDocument/2006/relationships/hyperlink" Target="https://www.duino.lk/product/gt2-6mm-width-2gt-pu-transmission-timing-belt/" TargetMode="External"/><Relationship Id="rId11" Type="http://schemas.openxmlformats.org/officeDocument/2006/relationships/hyperlink" Target="https://www.duino.lk/product/2-pin-jumper-connector-stud-2-54mm-standard/" TargetMode="External"/><Relationship Id="rId5" Type="http://schemas.openxmlformats.org/officeDocument/2006/relationships/hyperlink" Target="https://www.duino.lk/product/1000mm-8mm-smooth-shaft/" TargetMode="External"/><Relationship Id="rId10" Type="http://schemas.openxmlformats.org/officeDocument/2006/relationships/hyperlink" Target="https://tronic.lk/product/m3-stainless-steel-plain-flat-washer?srsltid=AfmBOooPRT6yeefbNcoXJxjEukY0WOrN_eUb2KrOpBw3b-ZA24PIuWgf" TargetMode="External"/><Relationship Id="rId4" Type="http://schemas.openxmlformats.org/officeDocument/2006/relationships/hyperlink" Target="https://www.duino.lk/product/servo-motor-sg90-9g/" TargetMode="External"/><Relationship Id="rId9" Type="http://schemas.openxmlformats.org/officeDocument/2006/relationships/hyperlink" Target="https://www.duino.lk/product/m3-iron-phillips-head-screws-nuts-fastener-3mm-30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13F6-7830-43EC-8288-27BB5FBB7249}">
  <dimension ref="A1:E18"/>
  <sheetViews>
    <sheetView tabSelected="1" workbookViewId="0">
      <selection activeCell="E17" sqref="E17"/>
    </sheetView>
  </sheetViews>
  <sheetFormatPr defaultRowHeight="15" x14ac:dyDescent="0.25"/>
  <cols>
    <col min="1" max="1" width="78.140625" customWidth="1"/>
    <col min="2" max="2" width="10.7109375" customWidth="1"/>
    <col min="3" max="3" width="20.85546875" customWidth="1"/>
    <col min="4" max="4" width="20.85546875" style="1" customWidth="1"/>
    <col min="5" max="5" width="20.5703125" customWidth="1"/>
    <col min="6" max="6" width="14.42578125" customWidth="1"/>
  </cols>
  <sheetData>
    <row r="1" spans="1:5" ht="2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>
        <v>2</v>
      </c>
      <c r="C2" s="4" t="s">
        <v>6</v>
      </c>
      <c r="D2" s="1">
        <v>7.8</v>
      </c>
      <c r="E2" s="1">
        <f>SUM(B2*D2)</f>
        <v>15.6</v>
      </c>
    </row>
    <row r="3" spans="1:5" x14ac:dyDescent="0.25">
      <c r="A3" t="s">
        <v>7</v>
      </c>
      <c r="B3">
        <v>1</v>
      </c>
      <c r="C3" s="4" t="s">
        <v>8</v>
      </c>
      <c r="D3" s="1">
        <v>20.94</v>
      </c>
      <c r="E3" s="1">
        <f t="shared" ref="E3:E15" si="0">SUM(B3*D3)</f>
        <v>20.94</v>
      </c>
    </row>
    <row r="4" spans="1:5" x14ac:dyDescent="0.25">
      <c r="A4" t="s">
        <v>9</v>
      </c>
      <c r="B4">
        <v>1</v>
      </c>
      <c r="C4" s="4" t="s">
        <v>10</v>
      </c>
      <c r="D4" s="1">
        <v>2.9</v>
      </c>
      <c r="E4" s="1">
        <f t="shared" si="0"/>
        <v>2.9</v>
      </c>
    </row>
    <row r="5" spans="1:5" x14ac:dyDescent="0.25">
      <c r="A5" t="s">
        <v>11</v>
      </c>
      <c r="B5">
        <v>1</v>
      </c>
      <c r="C5" s="4" t="s">
        <v>12</v>
      </c>
      <c r="D5" s="1">
        <v>1.1299999999999999</v>
      </c>
      <c r="E5" s="1">
        <f t="shared" si="0"/>
        <v>1.1299999999999999</v>
      </c>
    </row>
    <row r="6" spans="1:5" x14ac:dyDescent="0.25">
      <c r="A6" t="s">
        <v>13</v>
      </c>
      <c r="B6">
        <v>2</v>
      </c>
      <c r="C6" s="4" t="s">
        <v>14</v>
      </c>
      <c r="D6" s="1">
        <v>5.8</v>
      </c>
      <c r="E6" s="1">
        <f t="shared" si="0"/>
        <v>11.6</v>
      </c>
    </row>
    <row r="7" spans="1:5" x14ac:dyDescent="0.25">
      <c r="A7" t="s">
        <v>15</v>
      </c>
      <c r="B7">
        <v>8</v>
      </c>
      <c r="C7" s="4" t="s">
        <v>20</v>
      </c>
      <c r="D7" s="1">
        <v>1.45</v>
      </c>
      <c r="E7" s="1">
        <f t="shared" si="0"/>
        <v>11.6</v>
      </c>
    </row>
    <row r="8" spans="1:5" x14ac:dyDescent="0.25">
      <c r="A8" t="s">
        <v>17</v>
      </c>
      <c r="B8">
        <v>2</v>
      </c>
      <c r="C8" s="4" t="s">
        <v>16</v>
      </c>
      <c r="D8" s="1">
        <v>1.61</v>
      </c>
      <c r="E8" s="1">
        <f t="shared" si="0"/>
        <v>3.22</v>
      </c>
    </row>
    <row r="9" spans="1:5" x14ac:dyDescent="0.25">
      <c r="A9" t="s">
        <v>19</v>
      </c>
      <c r="B9">
        <v>2</v>
      </c>
      <c r="C9" t="s">
        <v>18</v>
      </c>
      <c r="D9" s="1">
        <v>0.97</v>
      </c>
      <c r="E9" s="1">
        <f t="shared" si="0"/>
        <v>1.94</v>
      </c>
    </row>
    <row r="10" spans="1:5" x14ac:dyDescent="0.25">
      <c r="A10" t="s">
        <v>21</v>
      </c>
      <c r="B10">
        <v>15</v>
      </c>
      <c r="C10" s="4" t="s">
        <v>22</v>
      </c>
      <c r="D10" s="1">
        <v>0.03</v>
      </c>
      <c r="E10" s="1">
        <f t="shared" si="0"/>
        <v>0.44999999999999996</v>
      </c>
    </row>
    <row r="11" spans="1:5" x14ac:dyDescent="0.25">
      <c r="A11" t="s">
        <v>23</v>
      </c>
      <c r="B11">
        <v>5</v>
      </c>
      <c r="C11" s="4" t="s">
        <v>22</v>
      </c>
      <c r="D11" s="1">
        <v>0.02</v>
      </c>
      <c r="E11" s="1">
        <f t="shared" si="0"/>
        <v>0.1</v>
      </c>
    </row>
    <row r="12" spans="1:5" x14ac:dyDescent="0.25">
      <c r="A12" t="s">
        <v>25</v>
      </c>
      <c r="B12">
        <v>1</v>
      </c>
      <c r="C12" t="s">
        <v>24</v>
      </c>
      <c r="D12" s="1">
        <v>0.13</v>
      </c>
      <c r="E12" s="1">
        <f t="shared" si="0"/>
        <v>0.13</v>
      </c>
    </row>
    <row r="13" spans="1:5" x14ac:dyDescent="0.25">
      <c r="A13" t="s">
        <v>26</v>
      </c>
      <c r="B13">
        <v>10</v>
      </c>
      <c r="C13" s="4" t="s">
        <v>27</v>
      </c>
      <c r="D13" s="1">
        <v>1.9E-2</v>
      </c>
      <c r="E13" s="1">
        <f t="shared" si="0"/>
        <v>0.19</v>
      </c>
    </row>
    <row r="14" spans="1:5" x14ac:dyDescent="0.25">
      <c r="A14" t="s">
        <v>29</v>
      </c>
      <c r="B14">
        <v>1</v>
      </c>
      <c r="C14" s="4" t="s">
        <v>28</v>
      </c>
      <c r="D14" s="1">
        <v>0.4</v>
      </c>
      <c r="E14" s="1">
        <f t="shared" si="0"/>
        <v>0.4</v>
      </c>
    </row>
    <row r="15" spans="1:5" x14ac:dyDescent="0.25">
      <c r="A15" t="s">
        <v>32</v>
      </c>
      <c r="B15">
        <v>5</v>
      </c>
      <c r="C15" s="4" t="s">
        <v>31</v>
      </c>
      <c r="D15" s="1">
        <v>0.48</v>
      </c>
      <c r="E15" s="1">
        <f t="shared" si="0"/>
        <v>2.4</v>
      </c>
    </row>
    <row r="16" spans="1:5" x14ac:dyDescent="0.25">
      <c r="A16" t="s">
        <v>30</v>
      </c>
      <c r="D16" s="1" t="s">
        <v>33</v>
      </c>
      <c r="E16" t="s">
        <v>33</v>
      </c>
    </row>
    <row r="18" spans="5:5" x14ac:dyDescent="0.25">
      <c r="E18" s="1">
        <f>SUM(E1:E17)</f>
        <v>72.600000000000009</v>
      </c>
    </row>
  </sheetData>
  <hyperlinks>
    <hyperlink ref="C2" r:id="rId1" xr:uid="{4BA41181-3743-41BB-8FCF-CDF017280861}"/>
    <hyperlink ref="C3" r:id="rId2" xr:uid="{45E0F1FD-F6CB-47E0-8FA8-1943CFC72E38}"/>
    <hyperlink ref="C4" r:id="rId3" xr:uid="{85892B6F-443A-45FF-BA9F-52E4CE8A50D9}"/>
    <hyperlink ref="C5" r:id="rId4" xr:uid="{D83E816D-0DF8-4ED1-BF78-730D68AAE025}"/>
    <hyperlink ref="C6" r:id="rId5" xr:uid="{82612F75-8F9A-4FB5-BF93-5715746F9E78}"/>
    <hyperlink ref="C8" r:id="rId6" xr:uid="{9ADAEB05-DADC-431C-B44C-3B16AE7D9AA6}"/>
    <hyperlink ref="C7" r:id="rId7" xr:uid="{ADCFBC29-7530-4869-9BBF-0F8F4AFF6BCB}"/>
    <hyperlink ref="C11" r:id="rId8" xr:uid="{10FE1AF8-D44C-44D0-9143-A93B0B212B51}"/>
    <hyperlink ref="C10" r:id="rId9" xr:uid="{06F89D40-0123-462E-A6AF-F439A1621E88}"/>
    <hyperlink ref="C13" r:id="rId10" xr:uid="{AFCA9F43-99EC-4233-A2C2-251E6774D1B7}"/>
    <hyperlink ref="C14" r:id="rId11" xr:uid="{88066828-F075-4A0F-9EAB-D1B3A8213655}"/>
    <hyperlink ref="C15" r:id="rId12" xr:uid="{E4980BAB-786C-45FB-AE10-084C2C8AD6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Abbadh Imran</dc:creator>
  <cp:lastModifiedBy>Abbadh Imran</cp:lastModifiedBy>
  <dcterms:created xsi:type="dcterms:W3CDTF">2026-02-19T11:33:29Z</dcterms:created>
  <dcterms:modified xsi:type="dcterms:W3CDTF">2026-02-19T12:42:49Z</dcterms:modified>
</cp:coreProperties>
</file>